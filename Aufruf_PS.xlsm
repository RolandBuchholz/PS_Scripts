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\\Bauer\AUFTRÄGE NEU\Transfer\"/>
    </mc:Choice>
  </mc:AlternateContent>
  <bookViews>
    <workbookView xWindow="0" yWindow="0" windowWidth="28770" windowHeight="12270"/>
  </bookViews>
  <sheets>
    <sheet name="Tabelle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3" i="1" l="1"/>
  <c r="B10" i="1" l="1"/>
</calcChain>
</file>

<file path=xl/comments1.xml><?xml version="1.0" encoding="utf-8"?>
<comments xmlns="http://schemas.openxmlformats.org/spreadsheetml/2006/main">
  <authors>
    <author>Roland Buchholz</author>
  </authors>
  <commentList>
    <comment ref="H20" authorId="0" shapeId="0">
      <text>
        <r>
          <rPr>
            <b/>
            <sz val="9"/>
            <color indexed="81"/>
            <rFont val="Segoe UI"/>
            <family val="2"/>
          </rPr>
          <t>Roland Buchholz:</t>
        </r>
        <r>
          <rPr>
            <sz val="9"/>
            <color indexed="81"/>
            <rFont val="Segoe UI"/>
            <family val="2"/>
          </rPr>
          <t xml:space="preserve">
Es werden folgende Dateien überprüft:
Auftragsnummer-Spezifikation.pdf
Auftragsnummer-.html
Auftragsnummer-.aus
Auftragsnummer-.dat
Auftragsnummer-.LILO
Auftragsnummer-Beripac.txt
Auftragsnummer-G.txt
Auftragsnummer-Pluto.txt
Auftragsnummer-ZZE-S.txt
Wenn eine oder mehrere Dateien versehendlich ausgechecked wurden, wird der Error-Code 11 mit den DownloadInfos der ersten gefunden Datei ausgegeben
</t>
        </r>
      </text>
    </comment>
  </commentList>
</comments>
</file>

<file path=xl/sharedStrings.xml><?xml version="1.0" encoding="utf-8"?>
<sst xmlns="http://schemas.openxmlformats.org/spreadsheetml/2006/main" count="101" uniqueCount="85">
  <si>
    <t>Auftragsnummer:</t>
  </si>
  <si>
    <t>Error-Code</t>
  </si>
  <si>
    <t>kein Fehler</t>
  </si>
  <si>
    <t>Login Fehler im Vault</t>
  </si>
  <si>
    <t>Eigenschaftsabgleich mit Vault fehlgeschlagen</t>
  </si>
  <si>
    <t>Interner Fehler in der PowerShellStart Programm</t>
  </si>
  <si>
    <t>Fehlerbeschreibung</t>
  </si>
  <si>
    <t>AutoDeskTransferXml mehrfach im Arbeitsbereich vorhanden.</t>
  </si>
  <si>
    <t>Readonly</t>
  </si>
  <si>
    <t>DownloadInfos</t>
  </si>
  <si>
    <t>IsCheckOut</t>
  </si>
  <si>
    <t>Value</t>
  </si>
  <si>
    <t>ExitCode</t>
  </si>
  <si>
    <t xml:space="preserve"> true </t>
  </si>
  <si>
    <t xml:space="preserve"> false </t>
  </si>
  <si>
    <t>CheckOutState</t>
  </si>
  <si>
    <t>CheckOutPC</t>
  </si>
  <si>
    <t>EditedBy</t>
  </si>
  <si>
    <t>Invalide Auftrags bzw. Angebotsnummer</t>
  </si>
  <si>
    <t>Implementierungsvorschlag</t>
  </si>
  <si>
    <t>Result</t>
  </si>
  <si>
    <t>Datei nicht vorhanden =&gt; weiter mit Schritt 2</t>
  </si>
  <si>
    <t>Datei vorhanden (Schreibgeschützt) =&gt; weiter mit Schritt 2</t>
  </si>
  <si>
    <t>Datei mehrfach vorhanden =&gt; Fehlermeldung ggf. weiter mit Schritt 2</t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</si>
  <si>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</t>
    </r>
    <r>
      <rPr>
        <b/>
        <sz val="11"/>
        <color theme="1"/>
        <rFont val="Calibri"/>
        <family val="2"/>
        <scheme val="minor"/>
      </rPr>
      <t xml:space="preserve"> IsCheckOut = false</t>
    </r>
    <r>
      <rPr>
        <sz val="11"/>
        <color theme="1"/>
        <rFont val="Calibri"/>
        <family val="2"/>
        <scheme val="minor"/>
      </rPr>
      <t xml:space="preserve"> =&gt; Datei kann verwendet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</si>
  <si>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IsCheckOut = true</t>
    </r>
    <r>
      <rPr>
        <sz val="11"/>
        <color theme="1"/>
        <rFont val="Calibri"/>
        <family val="2"/>
        <scheme val="minor"/>
      </rPr>
      <t xml:space="preserve"> =&gt; Datei kann verwendet werden mit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</si>
  <si>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sz val="11"/>
        <color theme="1"/>
        <rFont val="Calibri"/>
        <family val="2"/>
        <scheme val="minor"/>
      </rPr>
      <t>Errorcode ist nicht 0</t>
    </r>
    <r>
      <rPr>
        <sz val="11"/>
        <color theme="1"/>
        <rFont val="Calibri"/>
        <family val="2"/>
        <scheme val="minor"/>
      </rPr>
      <t xml:space="preserve"> =&gt; Dateidownload fehlgeschlagen Benutzer Info geben</t>
    </r>
  </si>
  <si>
    <r>
      <rPr>
        <b/>
        <u/>
        <sz val="11"/>
        <color rgb="FF0070C0"/>
        <rFont val="Calibri"/>
        <family val="2"/>
        <scheme val="minor"/>
      </rPr>
      <t>Sobald eine Dateiänderung erfolgt</t>
    </r>
    <r>
      <rPr>
        <b/>
        <sz val="11"/>
        <color theme="1"/>
        <rFont val="Calibri"/>
        <family val="2"/>
        <scheme val="minor"/>
      </rPr>
      <t xml:space="preserve"> =&gt; </t>
    </r>
    <r>
      <rPr>
        <sz val="11"/>
        <color theme="1"/>
        <rFont val="Calibri"/>
        <family val="2"/>
        <scheme val="minor"/>
      </rPr>
      <t>dem Benutzer mitteilen das die Datei noch schreibgeschützt ist und diese jetzt ausgechecked wird =&gt; weiter mit Schritt3</t>
    </r>
  </si>
  <si>
    <r>
      <t>Datei vorhanden (</t>
    </r>
    <r>
      <rPr>
        <b/>
        <sz val="11"/>
        <color theme="1"/>
        <rFont val="Calibri"/>
        <family val="2"/>
        <scheme val="minor"/>
      </rPr>
      <t>nicht Schreibgeschützt</t>
    </r>
    <r>
      <rPr>
        <sz val="11"/>
        <color theme="1"/>
        <rFont val="Calibri"/>
        <family val="2"/>
        <scheme val="minor"/>
      </rPr>
      <t xml:space="preserve">) =&gt;  Datei kann </t>
    </r>
    <r>
      <rPr>
        <b/>
        <u/>
        <sz val="11"/>
        <color theme="1"/>
        <rFont val="Calibri"/>
        <family val="2"/>
        <scheme val="minor"/>
      </rPr>
      <t>direkt verwendet und bearbeitet</t>
    </r>
    <r>
      <rPr>
        <sz val="11"/>
        <color theme="1"/>
        <rFont val="Calibri"/>
        <family val="2"/>
        <scheme val="minor"/>
      </rPr>
      <t xml:space="preserve"> werden ggf. kann noch geprüft werden ob die Datei </t>
    </r>
    <r>
      <rPr>
        <b/>
        <sz val="11"/>
        <color theme="1"/>
        <rFont val="Calibri"/>
        <family val="2"/>
        <scheme val="minor"/>
      </rPr>
      <t xml:space="preserve">CheckedOutByCurrentUser </t>
    </r>
    <r>
      <rPr>
        <sz val="11"/>
        <color theme="1"/>
        <rFont val="Calibri"/>
        <family val="2"/>
        <scheme val="minor"/>
      </rPr>
      <t>ist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</si>
  <si>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CheckedOutByCurrentUser</t>
    </r>
    <r>
      <rPr>
        <sz val="11"/>
        <color theme="1"/>
        <rFont val="Calibri"/>
        <family val="2"/>
        <scheme val="minor"/>
      </rPr>
      <t xml:space="preserve"> =&gt; Datei kann verwendet und bearbeitet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</si>
  <si>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CheckedOutByOtherUser</t>
    </r>
    <r>
      <rPr>
        <sz val="11"/>
        <color theme="1"/>
        <rFont val="Calibri"/>
        <family val="2"/>
        <scheme val="minor"/>
      </rPr>
      <t xml:space="preserve"> =&gt; Datei kann nur im ReadOnly Modus verwendet werden. 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</si>
  <si>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i/>
        <sz val="11"/>
        <color theme="1"/>
        <rFont val="Calibri"/>
        <family val="2"/>
        <scheme val="minor"/>
      </rPr>
      <t xml:space="preserve">Errorcode ist nicht 0 </t>
    </r>
    <r>
      <rPr>
        <sz val="11"/>
        <color theme="1"/>
        <rFont val="Calibri"/>
        <family val="2"/>
        <scheme val="minor"/>
      </rPr>
      <t>=&gt; Dateidownload fehlgeschlagen Benutzer Info geben</t>
    </r>
  </si>
  <si>
    <t>Success</t>
  </si>
  <si>
    <t>FileName</t>
  </si>
  <si>
    <t>FullFileName</t>
  </si>
  <si>
    <t>Fehlende AdskLicensingSDK_5.dll im Powershell Ordner</t>
  </si>
  <si>
    <t>Vault Client 2022 oder DataStandard wurde nicht gefunden</t>
  </si>
  <si>
    <t>CheckedOutByOtherUser</t>
  </si>
  <si>
    <t>ErrorState</t>
  </si>
  <si>
    <t>EntityStatusImageInfo.Status</t>
  </si>
  <si>
    <t>Value Options (Vault)</t>
  </si>
  <si>
    <t>Custom Value Options (iLogic-Vault)</t>
  </si>
  <si>
    <t>ConsumableStateEnum</t>
  </si>
  <si>
    <t>LatestConsumable</t>
  </si>
  <si>
    <t>NotLatestConsumable</t>
  </si>
  <si>
    <t>Unknown</t>
  </si>
  <si>
    <t>CheckoutState</t>
  </si>
  <si>
    <t>CheckedOutByCurrentUser</t>
  </si>
  <si>
    <t>NotCheckedOut</t>
  </si>
  <si>
    <t>CouldNotComputeChecksum</t>
  </si>
  <si>
    <t>FilePathTooLong</t>
  </si>
  <si>
    <t>None</t>
  </si>
  <si>
    <t>NoWorkingFolder</t>
  </si>
  <si>
    <t>LocalFileNotFoundVaultFileNotFound</t>
  </si>
  <si>
    <t>VaultFileNotFound</t>
  </si>
  <si>
    <t>LocalEditsState</t>
  </si>
  <si>
    <t>DoesNotHaveLocalEdits</t>
  </si>
  <si>
    <t>HasLocalEdits</t>
  </si>
  <si>
    <t>LockedState</t>
  </si>
  <si>
    <t>Locked</t>
  </si>
  <si>
    <t>Unlocked</t>
  </si>
  <si>
    <t>RevisionState</t>
  </si>
  <si>
    <t>MatchesHistoricalRevision</t>
  </si>
  <si>
    <t>MatchesLatestRevision</t>
  </si>
  <si>
    <t>VersionState</t>
  </si>
  <si>
    <t>InVaultButNotOnDisk</t>
  </si>
  <si>
    <t>MatchesLatestVaultVersion</t>
  </si>
  <si>
    <t>MatchesNoVaultVersion</t>
  </si>
  <si>
    <t>MatchesOlderVaultVersion</t>
  </si>
  <si>
    <t>OnDiskButNotInVault</t>
  </si>
  <si>
    <t>X</t>
  </si>
  <si>
    <t>Datei - Upload /Download/Reservierung enfernen fehlgeschlagen</t>
  </si>
  <si>
    <t>Step 1. Nach XML im lokalen Arbeitsbereich suchen</t>
  </si>
  <si>
    <t>Step 2. Datei ReadOnly = True downloaden</t>
  </si>
  <si>
    <t>Step 3. Datei erneut downloaden ReadOnly = False</t>
  </si>
  <si>
    <t>Datei im Vault oder Arbeitsbereich nicht gefunden</t>
  </si>
  <si>
    <t>AutoDeskTransferXml durch anderen Benutzer ausgechecked</t>
  </si>
  <si>
    <t>1001042</t>
  </si>
  <si>
    <t>Xml verbundene Dateien durch anderen Benutzer ausgechecked</t>
  </si>
  <si>
    <t>Buchholz</t>
  </si>
  <si>
    <r>
      <rPr>
        <b/>
        <sz val="14"/>
        <color theme="9" tint="-0.249977111117893"/>
        <rFont val="Calibri"/>
        <family val="2"/>
        <scheme val="minor"/>
      </rPr>
      <t xml:space="preserve">Info: </t>
    </r>
    <r>
      <rPr>
        <sz val="11"/>
        <color theme="1"/>
        <rFont val="Calibri"/>
        <family val="2"/>
        <scheme val="minor"/>
      </rPr>
      <t>Die Auftragsnummer bzw. Angbotsnummer wird noch vor der Verbindung mit der Vaultdatenbank validiert</t>
    </r>
  </si>
  <si>
    <t>CustomFile</t>
  </si>
  <si>
    <t>1001042-LiftHistory.json</t>
  </si>
  <si>
    <t>C:\Work\AUFTRÄGE NEU\Konstruktion\100\1001042-1048\1001042\1001042-LiftHistory.json</t>
  </si>
  <si>
    <t xml:space="preserve">Vault PowershellScript: SetVaultFile.ps1 finished ..._x000D_
---DownloadInfo---_x000D_
{"Success":true,"FileName":"1001042-LiftHistory.json","FullFileName":"C:\\Work\\AUFTR\u00C4GE NEU\\Konstruktion\\100\\1001042-1048\\1001042\\1001042-LiftHistory.json","CheckOutState":"NotCheckedOut","IsCheckOut":false,"CheckOutPC":"","EditedBy":"Buchholz","ErrorState":"None","ExitCode":0}_x000D_
---DownloadInfo---_x000D_
Downloadtime: 6841 ms_x000D_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</si>
</sst>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Dauer: &quot;0.00\ &quot;Sek.&quot;"/>
  </numFmts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rgb="FF000000"/>
      <name val="Arial Unicode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9" tint="-0.24997711111789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5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/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</borders>
  <cellStyleXfs count="7">
    <xf numFmtId="0" fontId="0" fillId="0" borderId="0"/>
    <xf numFmtId="0" fontId="3" fillId="2" borderId="2" applyNumberFormat="0" applyAlignment="0" applyProtection="0"/>
    <xf numFmtId="0" fontId="4" fillId="2" borderId="1" applyNumberFormat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1" fillId="8" borderId="0" applyNumberFormat="0" applyBorder="0" applyAlignment="0" applyProtection="0"/>
    <xf numFmtId="0" fontId="2" fillId="18" borderId="0" applyNumberFormat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7" borderId="0" xfId="0" applyFont="1" applyFill="1" applyAlignment="1">
      <alignment horizontal="center"/>
    </xf>
    <xf numFmtId="0" fontId="0" fillId="0" borderId="0" xfId="0" applyBorder="1"/>
    <xf numFmtId="0" fontId="5" fillId="5" borderId="3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7" fillId="2" borderId="2" xfId="1" applyFont="1" applyAlignment="1">
      <alignment horizontal="center"/>
    </xf>
    <xf numFmtId="164" fontId="4" fillId="2" borderId="1" xfId="2" applyNumberFormat="1" applyAlignment="1">
      <alignment horizontal="center"/>
    </xf>
    <xf numFmtId="0" fontId="8" fillId="6" borderId="0" xfId="0" applyFont="1" applyFill="1"/>
    <xf numFmtId="0" fontId="9" fillId="3" borderId="0" xfId="3" applyFont="1" applyAlignment="1">
      <alignment horizontal="center"/>
    </xf>
    <xf numFmtId="0" fontId="10" fillId="0" borderId="0" xfId="0" applyFont="1"/>
    <xf numFmtId="0" fontId="3" fillId="2" borderId="2" xfId="1"/>
    <xf numFmtId="0" fontId="5" fillId="0" borderId="0" xfId="0" applyFont="1"/>
    <xf numFmtId="49" fontId="9" fillId="4" borderId="0" xfId="4" applyNumberFormat="1" applyFont="1" applyAlignment="1">
      <alignment horizontal="center"/>
    </xf>
    <xf numFmtId="0" fontId="15" fillId="0" borderId="0" xfId="0" applyFont="1" applyAlignment="1">
      <alignment vertic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14" fillId="9" borderId="0" xfId="0" applyFont="1" applyFill="1" applyBorder="1" applyAlignment="1">
      <alignment horizontal="left" vertical="top" wrapText="1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14" fillId="9" borderId="0" xfId="0" applyFont="1" applyFill="1" applyBorder="1" applyAlignment="1">
      <alignment horizontal="left" vertical="top" wrapText="1"/>
    </xf>
    <xf numFmtId="0" fontId="11" fillId="8" borderId="0" xfId="5" applyAlignment="1">
      <alignment horizontal="left"/>
    </xf>
    <xf numFmtId="0" fontId="2" fillId="18" borderId="1" xfId="6" applyBorder="1" applyAlignment="1">
      <alignment horizontal="left"/>
    </xf>
    <xf numFmtId="0" fontId="8" fillId="6" borderId="0" xfId="0" applyFont="1" applyFill="1" applyAlignment="1">
      <alignment horizontal="center"/>
    </xf>
    <xf numFmtId="0" fontId="0" fillId="5" borderId="4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5" borderId="4" xfId="0" applyFont="1" applyFill="1" applyBorder="1" applyAlignment="1">
      <alignment horizontal="left"/>
    </xf>
    <xf numFmtId="0" fontId="5" fillId="5" borderId="5" xfId="0" applyFont="1" applyFill="1" applyBorder="1" applyAlignment="1">
      <alignment horizontal="left"/>
    </xf>
  </cellXfs>
  <cellStyles count="7">
    <cellStyle name="20 % - Akzent3" xfId="3" builtinId="38"/>
    <cellStyle name="40 % - Akzent2" xfId="6" builtinId="35"/>
    <cellStyle name="40 % - Akzent3" xfId="4" builtinId="39"/>
    <cellStyle name="60 % - Akzent3" xfId="5" builtinId="40"/>
    <cellStyle name="Ausgabe" xfId="1" builtinId="21"/>
    <cellStyle name="Berechnung" xfId="2" builtinId="22"/>
    <cellStyle name="Standard" xfId="0" builtinId="0"/>
  </cellStyles>
  <dxfs count="1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11</xdr:col>
          <xdr:colOff>704850</xdr:colOff>
          <xdr:row>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 File mit Rückgabewert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Fehlercode" displayName="Fehlercode" ref="H8:L22" headerRowCount="0" totalsRowShown="0" headerRowDxfId="11" dataDxfId="10">
  <tableColumns count="5">
    <tableColumn id="1" name="Spalte1" headerRowDxfId="9" dataDxfId="8"/>
    <tableColumn id="2" name="Spalte2" headerRowDxfId="7" dataDxfId="6"/>
    <tableColumn id="3" name="Spalte3" headerRowDxfId="5" dataDxfId="4"/>
    <tableColumn id="4" name="Spalte4" headerRowDxfId="3" dataDxfId="2"/>
    <tableColumn id="5" name="Spalte5" headerRowDxfId="1" dataDxfId="0"/>
  </tableColumns>
  <tableStyleInfo name="TableStyleMedium6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Z49"/>
  <sheetViews>
    <sheetView tabSelected="1" workbookViewId="0">
      <selection activeCell="E15" sqref="E15"/>
    </sheetView>
  </sheetViews>
  <sheetFormatPr baseColWidth="10" defaultRowHeight="15" x14ac:dyDescent="0.25"/>
  <cols>
    <col min="1" max="1" width="16.7109375" bestFit="1" customWidth="1"/>
    <col min="3" max="3" width="17.7109375" customWidth="1"/>
    <col min="5" max="5" width="15.7109375" customWidth="1"/>
    <col min="6" max="6" width="13.42578125" bestFit="1" customWidth="1"/>
    <col min="7" max="7" width="17.7109375" customWidth="1"/>
    <col min="11" max="11" width="20" customWidth="1"/>
    <col min="12" max="12" width="18" customWidth="1"/>
    <col min="13" max="13" width="3" customWidth="1"/>
    <col min="15" max="17" width="11.42578125" hidden="1" customWidth="1"/>
    <col min="18" max="19" width="27" bestFit="1" customWidth="1"/>
    <col min="20" max="20" width="25.5703125" bestFit="1" customWidth="1"/>
    <col min="21" max="21" width="22.85546875" bestFit="1" customWidth="1"/>
    <col min="22" max="22" width="25.28515625" bestFit="1" customWidth="1"/>
    <col min="23" max="23" width="20.140625" bestFit="1" customWidth="1"/>
    <col min="24" max="24" width="9.42578125" bestFit="1" customWidth="1"/>
    <col min="25" max="25" width="35" bestFit="1" customWidth="1"/>
    <col min="26" max="26" width="18" bestFit="1" customWidth="1"/>
  </cols>
  <sheetData>
    <row r="2" spans="1:26" ht="18.75" x14ac:dyDescent="0.3">
      <c r="A2" s="9" t="s">
        <v>0</v>
      </c>
      <c r="B2" s="9"/>
      <c r="C2" s="14" t="s">
        <v>77</v>
      </c>
      <c r="D2" s="9" t="s">
        <v>8</v>
      </c>
      <c r="E2" s="10" t="s">
        <v>13</v>
      </c>
      <c r="F2" s="9" t="s">
        <v>81</v>
      </c>
      <c r="G2" s="10" t="s">
        <v>14</v>
      </c>
      <c r="H2" t="s">
        <v>80</v>
      </c>
    </row>
    <row r="3" spans="1:26" x14ac:dyDescent="0.25">
      <c r="P3" t="s">
        <v>13</v>
      </c>
      <c r="S3" s="15"/>
    </row>
    <row r="4" spans="1:26" x14ac:dyDescent="0.25">
      <c r="P4" t="s">
        <v>14</v>
      </c>
    </row>
    <row r="7" spans="1:26" ht="15.75" x14ac:dyDescent="0.25">
      <c r="A7" s="3" t="s">
        <v>12</v>
      </c>
      <c r="B7" s="7">
        <v>0</v>
      </c>
      <c r="C7" s="8">
        <v>6.14</v>
      </c>
      <c r="E7" s="3" t="s">
        <v>12</v>
      </c>
      <c r="F7" s="7">
        <v>0</v>
      </c>
      <c r="G7" s="8">
        <v>7.07</v>
      </c>
      <c r="I7" s="3" t="s">
        <v>12</v>
      </c>
      <c r="J7" s="7">
        <v>0</v>
      </c>
      <c r="K7" s="8">
        <v>0.86</v>
      </c>
    </row>
    <row r="8" spans="1:26" x14ac:dyDescent="0.25">
      <c r="A8" s="4"/>
      <c r="B8" s="4"/>
      <c r="C8" s="4"/>
      <c r="H8" s="1" t="s">
        <v>1</v>
      </c>
      <c r="I8" s="2" t="s">
        <v>6</v>
      </c>
      <c r="J8" s="1"/>
      <c r="K8" s="1"/>
      <c r="L8" s="1"/>
      <c r="M8" s="1"/>
      <c r="N8" s="23"/>
      <c r="R8" s="16" t="s">
        <v>39</v>
      </c>
      <c r="S8" s="17" t="s">
        <v>40</v>
      </c>
      <c r="T8" s="17"/>
      <c r="U8" s="17"/>
      <c r="V8" s="17"/>
      <c r="W8" s="17"/>
      <c r="X8" s="17"/>
      <c r="Y8" s="18" t="s">
        <v>41</v>
      </c>
      <c r="Z8" s="18"/>
    </row>
    <row r="9" spans="1:26" x14ac:dyDescent="0.25">
      <c r="A9" s="5" t="s">
        <v>9</v>
      </c>
      <c r="B9" s="31" t="s">
        <v>11</v>
      </c>
      <c r="C9" s="32"/>
      <c r="H9" s="1">
        <v>0</v>
      </c>
      <c r="I9" s="2" t="s">
        <v>2</v>
      </c>
      <c r="J9" s="1"/>
      <c r="K9" s="1"/>
      <c r="L9" s="1"/>
      <c r="M9" s="1"/>
      <c r="N9" s="24"/>
      <c r="R9" s="19" t="s">
        <v>42</v>
      </c>
      <c r="S9" s="20" t="s">
        <v>43</v>
      </c>
      <c r="T9" s="20" t="s">
        <v>44</v>
      </c>
      <c r="U9" s="20" t="s">
        <v>45</v>
      </c>
    </row>
    <row r="10" spans="1:26" x14ac:dyDescent="0.25">
      <c r="A10" s="6"/>
      <c r="B10" s="33" t="str">
        <f>""</f>
        <v/>
      </c>
      <c r="C10" s="34"/>
      <c r="H10" s="1">
        <v>1</v>
      </c>
      <c r="I10" s="2" t="s">
        <v>71</v>
      </c>
      <c r="J10" s="1"/>
      <c r="K10" s="1"/>
      <c r="L10" s="1"/>
      <c r="M10" s="1"/>
      <c r="N10" s="23" t="s">
        <v>70</v>
      </c>
      <c r="R10" s="19" t="s">
        <v>46</v>
      </c>
      <c r="S10" s="20" t="s">
        <v>47</v>
      </c>
      <c r="T10" s="20" t="s">
        <v>37</v>
      </c>
      <c r="U10" s="20" t="s">
        <v>48</v>
      </c>
      <c r="V10" s="20" t="s">
        <v>45</v>
      </c>
    </row>
    <row r="11" spans="1:26" x14ac:dyDescent="0.25">
      <c r="A11" s="5" t="s">
        <v>32</v>
      </c>
      <c r="B11" s="35" t="b">
        <v>0</v>
      </c>
      <c r="C11" s="36"/>
      <c r="H11" s="1">
        <v>2</v>
      </c>
      <c r="I11" s="2" t="s">
        <v>3</v>
      </c>
      <c r="J11" s="1"/>
      <c r="K11" s="1"/>
      <c r="L11" s="1"/>
      <c r="M11" s="1"/>
      <c r="N11" s="24" t="s">
        <v>70</v>
      </c>
      <c r="R11" s="19" t="s">
        <v>38</v>
      </c>
      <c r="S11" s="20" t="s">
        <v>49</v>
      </c>
      <c r="T11" s="20" t="s">
        <v>50</v>
      </c>
      <c r="U11" s="20" t="s">
        <v>51</v>
      </c>
      <c r="V11" s="20" t="s">
        <v>52</v>
      </c>
      <c r="Y11" s="21" t="s">
        <v>53</v>
      </c>
      <c r="Z11" s="21" t="s">
        <v>54</v>
      </c>
    </row>
    <row r="12" spans="1:26" x14ac:dyDescent="0.25">
      <c r="A12" s="6" t="s">
        <v>33</v>
      </c>
      <c r="B12" s="37" t="s">
        <v>82</v>
      </c>
      <c r="C12" s="38"/>
      <c r="H12" s="1">
        <v>3</v>
      </c>
      <c r="I12" s="2" t="s">
        <v>4</v>
      </c>
      <c r="J12" s="1"/>
      <c r="K12" s="1"/>
      <c r="L12" s="1"/>
      <c r="M12" s="1"/>
      <c r="N12" s="23"/>
      <c r="R12" s="19" t="s">
        <v>55</v>
      </c>
      <c r="S12" s="20" t="s">
        <v>56</v>
      </c>
      <c r="T12" s="20" t="s">
        <v>57</v>
      </c>
      <c r="U12" s="20" t="s">
        <v>45</v>
      </c>
    </row>
    <row r="13" spans="1:26" x14ac:dyDescent="0.25">
      <c r="A13" s="5" t="s">
        <v>34</v>
      </c>
      <c r="B13" s="39" t="s">
        <v>83</v>
      </c>
      <c r="C13" s="40"/>
      <c r="H13" s="1">
        <v>4</v>
      </c>
      <c r="I13" s="2" t="s">
        <v>5</v>
      </c>
      <c r="J13" s="1"/>
      <c r="K13" s="1"/>
      <c r="L13" s="1"/>
      <c r="M13" s="1"/>
      <c r="N13" s="24"/>
      <c r="R13" s="19" t="s">
        <v>58</v>
      </c>
      <c r="S13" s="20" t="s">
        <v>59</v>
      </c>
      <c r="T13" s="20" t="s">
        <v>45</v>
      </c>
      <c r="U13" s="20" t="s">
        <v>60</v>
      </c>
    </row>
    <row r="14" spans="1:26" x14ac:dyDescent="0.25">
      <c r="A14" s="6" t="s">
        <v>15</v>
      </c>
      <c r="B14" s="37" t="s">
        <v>48</v>
      </c>
      <c r="C14" s="38"/>
      <c r="H14" s="1">
        <v>5</v>
      </c>
      <c r="I14" s="2" t="s">
        <v>7</v>
      </c>
      <c r="J14" s="1"/>
      <c r="K14" s="1"/>
      <c r="L14" s="1"/>
      <c r="M14" s="1"/>
      <c r="N14" s="23"/>
      <c r="R14" s="19" t="s">
        <v>61</v>
      </c>
      <c r="S14" s="20" t="s">
        <v>62</v>
      </c>
      <c r="T14" s="20" t="s">
        <v>63</v>
      </c>
      <c r="U14" s="20" t="s">
        <v>45</v>
      </c>
    </row>
    <row r="15" spans="1:26" x14ac:dyDescent="0.25">
      <c r="A15" s="5" t="s">
        <v>10</v>
      </c>
      <c r="B15" s="35" t="b">
        <v>0</v>
      </c>
      <c r="C15" s="36"/>
      <c r="H15" s="1">
        <v>6</v>
      </c>
      <c r="I15" s="2" t="s">
        <v>18</v>
      </c>
      <c r="J15" s="1"/>
      <c r="K15" s="1"/>
      <c r="L15" s="1"/>
      <c r="M15" s="1"/>
      <c r="N15" s="24"/>
      <c r="R15" s="19" t="s">
        <v>64</v>
      </c>
      <c r="S15" s="20" t="s">
        <v>65</v>
      </c>
      <c r="T15" s="20" t="s">
        <v>66</v>
      </c>
      <c r="U15" s="20" t="s">
        <v>67</v>
      </c>
      <c r="V15" s="20" t="s">
        <v>68</v>
      </c>
      <c r="W15" s="20" t="s">
        <v>69</v>
      </c>
      <c r="X15" s="20" t="s">
        <v>45</v>
      </c>
    </row>
    <row r="16" spans="1:26" x14ac:dyDescent="0.25">
      <c r="A16" s="6" t="s">
        <v>16</v>
      </c>
      <c r="B16" s="37"/>
      <c r="C16" s="38"/>
      <c r="H16" s="1">
        <v>7</v>
      </c>
      <c r="I16" s="2" t="s">
        <v>75</v>
      </c>
      <c r="J16" s="1"/>
      <c r="K16" s="1"/>
      <c r="L16" s="1"/>
      <c r="M16" s="1"/>
      <c r="N16" s="1"/>
    </row>
    <row r="17" spans="1:14" x14ac:dyDescent="0.25">
      <c r="A17" s="5" t="s">
        <v>17</v>
      </c>
      <c r="B17" s="35" t="s">
        <v>79</v>
      </c>
      <c r="C17" s="36"/>
      <c r="H17" s="1">
        <v>8</v>
      </c>
      <c r="I17" s="2" t="s">
        <v>35</v>
      </c>
      <c r="J17" s="1"/>
      <c r="K17" s="1"/>
      <c r="L17" s="1"/>
      <c r="M17" s="1"/>
      <c r="N17" s="1"/>
    </row>
    <row r="18" spans="1:14" x14ac:dyDescent="0.25">
      <c r="A18" s="6" t="s">
        <v>38</v>
      </c>
      <c r="B18" s="37" t="s">
        <v>51</v>
      </c>
      <c r="C18" s="38"/>
      <c r="H18" s="1">
        <v>9</v>
      </c>
      <c r="I18" s="2" t="s">
        <v>36</v>
      </c>
      <c r="J18" s="1"/>
      <c r="K18" s="1"/>
      <c r="L18" s="1"/>
      <c r="M18" s="1"/>
      <c r="N18" s="1"/>
    </row>
    <row r="19" spans="1:14" x14ac:dyDescent="0.25">
      <c r="A19" s="25"/>
      <c r="B19" s="25"/>
      <c r="C19" s="25"/>
      <c r="H19" s="1">
        <v>10</v>
      </c>
      <c r="I19" s="2" t="s">
        <v>76</v>
      </c>
      <c r="J19" s="1"/>
      <c r="K19" s="1"/>
      <c r="L19" s="1"/>
      <c r="M19" s="1"/>
      <c r="N19" s="1"/>
    </row>
    <row r="20" spans="1:14" x14ac:dyDescent="0.25">
      <c r="A20" s="25"/>
      <c r="B20" s="25"/>
      <c r="C20" s="25"/>
      <c r="H20" s="26">
        <v>11</v>
      </c>
      <c r="I20" s="2" t="s">
        <v>78</v>
      </c>
      <c r="J20" s="1"/>
      <c r="K20" s="1"/>
      <c r="L20" s="1"/>
      <c r="M20" s="1"/>
      <c r="N20" s="1"/>
    </row>
    <row r="21" spans="1:14" x14ac:dyDescent="0.25">
      <c r="A21" s="25"/>
      <c r="B21" s="25"/>
      <c r="C21" s="25"/>
      <c r="H21" s="1"/>
      <c r="I21" s="2"/>
      <c r="J21" s="1"/>
      <c r="K21" s="1"/>
      <c r="L21" s="1"/>
      <c r="M21" s="1"/>
      <c r="N21" s="1"/>
    </row>
    <row r="22" spans="1:14" x14ac:dyDescent="0.25">
      <c r="H22" s="1"/>
      <c r="I22" s="2"/>
      <c r="J22" s="1"/>
      <c r="K22" s="1"/>
      <c r="L22" s="1"/>
    </row>
    <row r="23" spans="1:14" ht="15" customHeight="1" x14ac:dyDescent="0.25">
      <c r="A23" s="29" t="str">
        <f>VLOOKUP(B7+F7+J7,H9:L22,2)</f>
        <v>kein Fehler</v>
      </c>
      <c r="B23" s="29"/>
      <c r="C23" s="29"/>
      <c r="D23" s="29"/>
      <c r="E23" s="29"/>
      <c r="F23" s="29"/>
      <c r="G23" s="29"/>
      <c r="H23" s="27" t="s">
        <v>84</v>
      </c>
      <c r="I23" s="27"/>
      <c r="J23" s="27"/>
      <c r="K23" s="27"/>
      <c r="L23" s="27"/>
      <c r="M23" s="22"/>
    </row>
    <row r="24" spans="1:14" x14ac:dyDescent="0.25">
      <c r="H24" s="27"/>
      <c r="I24" s="27"/>
      <c r="J24" s="27"/>
      <c r="K24" s="27"/>
      <c r="L24" s="27"/>
      <c r="M24" s="22"/>
    </row>
    <row r="25" spans="1:14" x14ac:dyDescent="0.25">
      <c r="H25" s="27"/>
      <c r="I25" s="27"/>
      <c r="J25" s="27"/>
      <c r="K25" s="27"/>
      <c r="L25" s="27"/>
      <c r="M25" s="22"/>
    </row>
    <row r="26" spans="1:14" x14ac:dyDescent="0.25">
      <c r="H26" s="27"/>
      <c r="I26" s="27"/>
      <c r="J26" s="27"/>
      <c r="K26" s="27"/>
      <c r="L26" s="27"/>
      <c r="M26" s="22"/>
    </row>
    <row r="27" spans="1:14" x14ac:dyDescent="0.25">
      <c r="H27" s="27"/>
      <c r="I27" s="27"/>
      <c r="J27" s="27"/>
      <c r="K27" s="27"/>
      <c r="L27" s="27"/>
      <c r="M27" s="22"/>
    </row>
    <row r="28" spans="1:14" ht="18.75" x14ac:dyDescent="0.3">
      <c r="A28" s="30" t="s">
        <v>19</v>
      </c>
      <c r="B28" s="30"/>
      <c r="C28" s="30"/>
      <c r="H28" s="27"/>
      <c r="I28" s="27"/>
      <c r="J28" s="27"/>
      <c r="K28" s="27"/>
      <c r="L28" s="27"/>
      <c r="M28" s="22"/>
    </row>
    <row r="29" spans="1:14" x14ac:dyDescent="0.25">
      <c r="H29" s="27"/>
      <c r="I29" s="27"/>
      <c r="J29" s="27"/>
      <c r="K29" s="27"/>
      <c r="L29" s="27"/>
      <c r="M29" s="22"/>
    </row>
    <row r="30" spans="1:14" x14ac:dyDescent="0.25">
      <c r="A30" s="28" t="s">
        <v>72</v>
      </c>
      <c r="B30" s="28"/>
      <c r="C30" s="28"/>
      <c r="H30" s="27"/>
      <c r="I30" s="27"/>
      <c r="J30" s="27"/>
      <c r="K30" s="27"/>
      <c r="L30" s="27"/>
      <c r="M30" s="22"/>
    </row>
    <row r="31" spans="1:14" x14ac:dyDescent="0.25">
      <c r="A31" s="12" t="s">
        <v>20</v>
      </c>
      <c r="H31" s="27"/>
      <c r="I31" s="27"/>
      <c r="J31" s="27"/>
      <c r="K31" s="27"/>
      <c r="L31" s="27"/>
      <c r="M31" s="22"/>
    </row>
    <row r="32" spans="1:14" x14ac:dyDescent="0.25">
      <c r="A32" t="s">
        <v>21</v>
      </c>
      <c r="H32" s="27"/>
      <c r="I32" s="27"/>
      <c r="J32" s="27"/>
      <c r="K32" s="27"/>
      <c r="L32" s="27"/>
      <c r="M32" s="22"/>
    </row>
    <row r="33" spans="1:13" x14ac:dyDescent="0.25">
      <c r="A33" t="s">
        <v>22</v>
      </c>
      <c r="H33" s="27"/>
      <c r="I33" s="27"/>
      <c r="J33" s="27"/>
      <c r="K33" s="27"/>
      <c r="L33" s="27"/>
      <c r="M33" s="22"/>
    </row>
    <row r="34" spans="1:13" x14ac:dyDescent="0.25">
      <c r="A34" t="s">
        <v>28</v>
      </c>
    </row>
    <row r="35" spans="1:13" x14ac:dyDescent="0.25">
      <c r="A35" t="s">
        <v>23</v>
      </c>
    </row>
    <row r="36" spans="1:13" x14ac:dyDescent="0.25">
      <c r="A36" t="s">
        <v>31</v>
      </c>
    </row>
    <row r="37" spans="1:13" x14ac:dyDescent="0.25">
      <c r="A37" s="28" t="s">
        <v>73</v>
      </c>
      <c r="B37" s="28"/>
      <c r="C37" s="28"/>
    </row>
    <row r="38" spans="1:13" x14ac:dyDescent="0.25">
      <c r="A38" s="12" t="s">
        <v>20</v>
      </c>
    </row>
    <row r="39" spans="1:13" x14ac:dyDescent="0.25">
      <c r="A39" t="s">
        <v>24</v>
      </c>
    </row>
    <row r="40" spans="1:13" x14ac:dyDescent="0.25">
      <c r="A40" t="s">
        <v>25</v>
      </c>
    </row>
    <row r="41" spans="1:13" x14ac:dyDescent="0.25">
      <c r="A41" t="s">
        <v>26</v>
      </c>
    </row>
    <row r="43" spans="1:13" x14ac:dyDescent="0.25">
      <c r="A43" s="13" t="s">
        <v>27</v>
      </c>
    </row>
    <row r="45" spans="1:13" x14ac:dyDescent="0.25">
      <c r="A45" s="28" t="s">
        <v>74</v>
      </c>
      <c r="B45" s="28"/>
      <c r="C45" s="28"/>
    </row>
    <row r="46" spans="1:13" x14ac:dyDescent="0.25">
      <c r="A46" s="12" t="s">
        <v>20</v>
      </c>
    </row>
    <row r="47" spans="1:13" x14ac:dyDescent="0.25">
      <c r="A47" t="s">
        <v>29</v>
      </c>
      <c r="I47" s="11"/>
    </row>
    <row r="48" spans="1:13" x14ac:dyDescent="0.25">
      <c r="A48" t="s">
        <v>30</v>
      </c>
      <c r="I48" s="11"/>
    </row>
    <row r="49" spans="1:1" x14ac:dyDescent="0.25">
      <c r="A49" t="s">
        <v>26</v>
      </c>
    </row>
  </sheetData>
  <mergeCells count="16">
    <mergeCell ref="B18:C18"/>
    <mergeCell ref="B14:C14"/>
    <mergeCell ref="B15:C15"/>
    <mergeCell ref="B16:C16"/>
    <mergeCell ref="B17:C17"/>
    <mergeCell ref="B9:C9"/>
    <mergeCell ref="B10:C10"/>
    <mergeCell ref="B11:C11"/>
    <mergeCell ref="B12:C12"/>
    <mergeCell ref="B13:C13"/>
    <mergeCell ref="H23:L33"/>
    <mergeCell ref="A45:C45"/>
    <mergeCell ref="A23:G23"/>
    <mergeCell ref="A28:C28"/>
    <mergeCell ref="A30:C30"/>
    <mergeCell ref="A37:C37"/>
  </mergeCells>
  <dataValidations count="1">
    <dataValidation type="list" allowBlank="1" showInputMessage="1" showErrorMessage="1" sqref="E2 G2">
      <formula1>$P$3:$P$4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etVaultFileReturn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etVaultFileReturn">
                <anchor moveWithCells="1" siz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UndoVaultFileReturn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11</xdr:col>
                    <xdr:colOff>704850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Buchholz</dc:creator>
  <cp:lastModifiedBy>Roland Buchholz</cp:lastModifiedBy>
  <dcterms:created xsi:type="dcterms:W3CDTF">2020-09-14T08:12:24Z</dcterms:created>
  <dcterms:modified xsi:type="dcterms:W3CDTF">2023-01-20T10:18:45Z</dcterms:modified>
</cp:coreProperties>
</file>